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ETH SANDEEPA\Pictures\TabSort-master 0.1\"/>
    </mc:Choice>
  </mc:AlternateContent>
  <xr:revisionPtr revIDLastSave="0" documentId="13_ncr:1_{1564BEF9-58C4-4A0E-8663-81F238568650}" xr6:coauthVersionLast="47" xr6:coauthVersionMax="47" xr10:uidLastSave="{00000000-0000-0000-0000-000000000000}"/>
  <bookViews>
    <workbookView xWindow="-120" yWindow="-120" windowWidth="29040" windowHeight="15990" xr2:uid="{04A720BA-D791-4AED-B8A2-6BBED2DEB8C4}"/>
  </bookViews>
  <sheets>
    <sheet name="Main User Input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" i="1" l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4" i="1"/>
  <c r="T9" i="1"/>
  <c r="T30" i="1"/>
  <c r="T4" i="1"/>
  <c r="T6" i="1"/>
  <c r="T7" i="1"/>
  <c r="T8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K11" i="1"/>
  <c r="O5" i="1"/>
  <c r="O6" i="1"/>
  <c r="O7" i="1"/>
  <c r="O8" i="1"/>
  <c r="O9" i="1"/>
  <c r="O10" i="1"/>
  <c r="S10" i="1" s="1"/>
  <c r="O11" i="1"/>
  <c r="S11" i="1" s="1"/>
  <c r="O12" i="1"/>
  <c r="S12" i="1" s="1"/>
  <c r="O13" i="1"/>
  <c r="S13" i="1" s="1"/>
  <c r="O14" i="1"/>
  <c r="S14" i="1" s="1"/>
  <c r="O15" i="1"/>
  <c r="S15" i="1" s="1"/>
  <c r="O16" i="1"/>
  <c r="S16" i="1" s="1"/>
  <c r="O17" i="1"/>
  <c r="S17" i="1" s="1"/>
  <c r="O18" i="1"/>
  <c r="S18" i="1" s="1"/>
  <c r="O19" i="1"/>
  <c r="S19" i="1" s="1"/>
  <c r="O20" i="1"/>
  <c r="S20" i="1" s="1"/>
  <c r="O21" i="1"/>
  <c r="S21" i="1" s="1"/>
  <c r="O22" i="1"/>
  <c r="S22" i="1" s="1"/>
  <c r="O23" i="1"/>
  <c r="O24" i="1"/>
  <c r="S24" i="1" s="1"/>
  <c r="O25" i="1"/>
  <c r="S25" i="1" s="1"/>
  <c r="O26" i="1"/>
  <c r="S26" i="1" s="1"/>
  <c r="O27" i="1"/>
  <c r="S27" i="1" s="1"/>
  <c r="O28" i="1"/>
  <c r="S28" i="1" s="1"/>
  <c r="O29" i="1"/>
  <c r="S29" i="1" s="1"/>
  <c r="O30" i="1"/>
  <c r="S30" i="1" s="1"/>
  <c r="O4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11" i="1"/>
  <c r="E12" i="1"/>
  <c r="E13" i="1"/>
  <c r="E14" i="1"/>
  <c r="E15" i="1"/>
  <c r="E16" i="1"/>
  <c r="E17" i="1"/>
  <c r="J17" i="1" s="1"/>
  <c r="E18" i="1"/>
  <c r="J18" i="1" s="1"/>
  <c r="E19" i="1"/>
  <c r="J19" i="1" s="1"/>
  <c r="E20" i="1"/>
  <c r="J20" i="1" s="1"/>
  <c r="E21" i="1"/>
  <c r="J21" i="1" s="1"/>
  <c r="E22" i="1"/>
  <c r="J22" i="1" s="1"/>
  <c r="E23" i="1"/>
  <c r="J23" i="1" s="1"/>
  <c r="E24" i="1"/>
  <c r="J24" i="1" s="1"/>
  <c r="E25" i="1"/>
  <c r="J25" i="1" s="1"/>
  <c r="E26" i="1"/>
  <c r="J26" i="1" s="1"/>
  <c r="E27" i="1"/>
  <c r="J27" i="1" s="1"/>
  <c r="E28" i="1"/>
  <c r="J28" i="1" s="1"/>
  <c r="E29" i="1"/>
  <c r="J29" i="1" s="1"/>
  <c r="E30" i="1"/>
  <c r="E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P4" i="1" l="1"/>
  <c r="P28" i="1"/>
  <c r="P24" i="1"/>
  <c r="P20" i="1"/>
  <c r="P16" i="1"/>
  <c r="P12" i="1"/>
  <c r="P7" i="1"/>
  <c r="P23" i="1"/>
  <c r="P15" i="1"/>
  <c r="P6" i="1"/>
  <c r="P5" i="1"/>
  <c r="P26" i="1"/>
  <c r="P22" i="1"/>
  <c r="P18" i="1"/>
  <c r="P14" i="1"/>
  <c r="P10" i="1"/>
  <c r="P27" i="1"/>
  <c r="P19" i="1"/>
  <c r="P11" i="1"/>
  <c r="P29" i="1"/>
  <c r="P25" i="1"/>
  <c r="P21" i="1"/>
  <c r="P17" i="1"/>
  <c r="P13" i="1"/>
  <c r="P8" i="1"/>
  <c r="P30" i="1"/>
  <c r="P9" i="1"/>
  <c r="J15" i="1"/>
  <c r="L15" i="1" s="1"/>
  <c r="S8" i="1"/>
  <c r="J13" i="1"/>
  <c r="L13" i="1" s="1"/>
  <c r="S23" i="1"/>
  <c r="L28" i="1"/>
  <c r="L17" i="1"/>
  <c r="L24" i="1"/>
  <c r="L20" i="1"/>
  <c r="L26" i="1"/>
  <c r="L22" i="1"/>
  <c r="L18" i="1"/>
  <c r="L25" i="1"/>
  <c r="L21" i="1"/>
  <c r="J16" i="1"/>
  <c r="L16" i="1" s="1"/>
  <c r="S9" i="1"/>
  <c r="J14" i="1"/>
  <c r="L14" i="1" s="1"/>
  <c r="J12" i="1"/>
  <c r="L12" i="1" s="1"/>
  <c r="J30" i="1"/>
  <c r="L30" i="1" s="1"/>
  <c r="J11" i="1"/>
  <c r="L11" i="1" s="1"/>
  <c r="L29" i="1"/>
  <c r="L27" i="1"/>
  <c r="L23" i="1"/>
  <c r="L19" i="1"/>
  <c r="L3" i="1" l="1"/>
  <c r="S6" i="1"/>
  <c r="S7" i="1"/>
  <c r="S5" i="1"/>
  <c r="S4" i="1"/>
</calcChain>
</file>

<file path=xl/sharedStrings.xml><?xml version="1.0" encoding="utf-8"?>
<sst xmlns="http://schemas.openxmlformats.org/spreadsheetml/2006/main" count="105" uniqueCount="95">
  <si>
    <t xml:space="preserve">prescription Data </t>
  </si>
  <si>
    <t xml:space="preserve">Date </t>
  </si>
  <si>
    <t>No.</t>
  </si>
  <si>
    <t xml:space="preserve">Total tablet count </t>
  </si>
  <si>
    <t>location X</t>
  </si>
  <si>
    <t>location Y</t>
  </si>
  <si>
    <t>Tb-Nm-01</t>
  </si>
  <si>
    <t>Tb-Nm-02</t>
  </si>
  <si>
    <t>Tb-Nm-03</t>
  </si>
  <si>
    <t>Tb-Nm-04</t>
  </si>
  <si>
    <t>Tb-Nm-05</t>
  </si>
  <si>
    <t>Tb-Nm-06</t>
  </si>
  <si>
    <t>Tb-Nm-07</t>
  </si>
  <si>
    <t>Tb-Nm-08</t>
  </si>
  <si>
    <t>Tb-Nm-09</t>
  </si>
  <si>
    <t>Tb-Nm-10</t>
  </si>
  <si>
    <t>Tb-Nm-11</t>
  </si>
  <si>
    <t>Tb-Nm-12</t>
  </si>
  <si>
    <t>Tb-Nm-13</t>
  </si>
  <si>
    <t>Tb-Nm-14</t>
  </si>
  <si>
    <t>Tb-Nm-15</t>
  </si>
  <si>
    <t>Tb-Nm-16</t>
  </si>
  <si>
    <t>Tb-Nm-17</t>
  </si>
  <si>
    <t>Tb-Nm-18</t>
  </si>
  <si>
    <t>Tb-Nm-19</t>
  </si>
  <si>
    <t>Tb-Nm-20</t>
  </si>
  <si>
    <t>Tb-Nm-21</t>
  </si>
  <si>
    <t>Tb-Nm-22</t>
  </si>
  <si>
    <t>Tb-Nm-23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</si>
  <si>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</si>
  <si>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</si>
  <si>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</si>
  <si>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</si>
  <si>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</si>
  <si>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</si>
  <si>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</si>
  <si>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</si>
  <si>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</si>
  <si>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</si>
  <si>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</si>
  <si>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</si>
  <si>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</si>
  <si>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</si>
  <si>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</si>
  <si>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</si>
  <si>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</si>
  <si>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</si>
  <si>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</si>
  <si>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</si>
  <si>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Tb-Nm-24</t>
  </si>
  <si>
    <t>01 Month &amp; 02 Weeks</t>
  </si>
  <si>
    <t xml:space="preserve">Tablet Name </t>
  </si>
  <si>
    <t>Period</t>
  </si>
  <si>
    <t>Time to get</t>
  </si>
  <si>
    <t>How to get</t>
  </si>
  <si>
    <t xml:space="preserve">Price </t>
  </si>
  <si>
    <t xml:space="preserve">Total price </t>
  </si>
  <si>
    <t>Morning &amp; Night</t>
  </si>
  <si>
    <t>Count</t>
  </si>
  <si>
    <t>01 Day</t>
  </si>
  <si>
    <t>03 Day</t>
  </si>
  <si>
    <t>01 Week</t>
  </si>
  <si>
    <t>02 Weeks</t>
  </si>
  <si>
    <t>03 Weeks</t>
  </si>
  <si>
    <t>01 Month</t>
  </si>
  <si>
    <t>02 Months</t>
  </si>
  <si>
    <t>03 Months</t>
  </si>
  <si>
    <t>06 Months</t>
  </si>
  <si>
    <t>Reference Data 01</t>
  </si>
  <si>
    <t>Reference Data 02</t>
  </si>
  <si>
    <t>Only Morning</t>
  </si>
  <si>
    <t>Only Night</t>
  </si>
  <si>
    <t>Only Afternoon</t>
  </si>
  <si>
    <t>Three Times</t>
  </si>
  <si>
    <t>Prescription No.</t>
  </si>
  <si>
    <t xml:space="preserve">Total Bill price </t>
  </si>
  <si>
    <t>Name of the patient</t>
  </si>
  <si>
    <t>Age of the patient</t>
  </si>
  <si>
    <t>Sex(Male/Female)</t>
  </si>
  <si>
    <t>Name of the Doctor</t>
  </si>
  <si>
    <t>Note of the Doctor:-</t>
  </si>
  <si>
    <t>patient Contact Number</t>
  </si>
  <si>
    <t>Adress of the patient</t>
  </si>
  <si>
    <t>G-Code</t>
  </si>
  <si>
    <t xml:space="preserve">Tablet details </t>
  </si>
  <si>
    <t>Machine data</t>
  </si>
  <si>
    <t xml:space="preserve">Store Volume </t>
  </si>
  <si>
    <t>Tablet count</t>
  </si>
  <si>
    <t>KEERTHI P.E.D.S./UDHAYAKA D.T.</t>
  </si>
  <si>
    <t>Control panel (Main)</t>
  </si>
  <si>
    <t>Name</t>
  </si>
  <si>
    <t xml:space="preserve"> </t>
  </si>
  <si>
    <t>X (step) mm</t>
  </si>
  <si>
    <t>Y (step) mm</t>
  </si>
  <si>
    <t>Bin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</si>
</sst>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LKR]\ * #,##0.00_-;\-[$LKR]\ * #,##0.00_-;_-[$LKR]\ * &quot;-&quot;??_-;_-@_-"/>
    <numFmt numFmtId="165" formatCode="dd/mm/yyyy;@"/>
    <numFmt numFmtId="166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3" borderId="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1" fillId="8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/>
    <xf numFmtId="0" fontId="1" fillId="11" borderId="1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6" xfId="0" applyFill="1" applyBorder="1"/>
    <xf numFmtId="0" fontId="0" fillId="2" borderId="12" xfId="0" applyFill="1" applyBorder="1" applyAlignment="1">
      <alignment horizontal="center"/>
    </xf>
    <xf numFmtId="0" fontId="0" fillId="2" borderId="12" xfId="0" applyFill="1" applyBorder="1"/>
    <xf numFmtId="0" fontId="0" fillId="2" borderId="7" xfId="0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3" xfId="0" applyFill="1" applyBorder="1"/>
    <xf numFmtId="0" fontId="0" fillId="2" borderId="11" xfId="0" applyFill="1" applyBorder="1"/>
    <xf numFmtId="0" fontId="0" fillId="6" borderId="1" xfId="0" applyFill="1" applyBorder="1" applyAlignment="1">
      <alignment horizontal="center" vertical="center"/>
    </xf>
    <xf numFmtId="164" fontId="1" fillId="8" borderId="1" xfId="0" applyNumberFormat="1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164" fontId="0" fillId="12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7" borderId="6" xfId="0" applyFill="1" applyBorder="1"/>
    <xf numFmtId="0" fontId="0" fillId="7" borderId="12" xfId="0" applyFill="1" applyBorder="1"/>
    <xf numFmtId="0" fontId="0" fillId="7" borderId="7" xfId="0" applyFill="1" applyBorder="1"/>
    <xf numFmtId="0" fontId="3" fillId="7" borderId="8" xfId="0" applyFont="1" applyFill="1" applyBorder="1"/>
    <xf numFmtId="0" fontId="3" fillId="7" borderId="0" xfId="0" applyFont="1" applyFill="1"/>
    <xf numFmtId="0" fontId="3" fillId="7" borderId="9" xfId="0" applyFont="1" applyFill="1" applyBorder="1"/>
    <xf numFmtId="0" fontId="0" fillId="7" borderId="8" xfId="0" applyFill="1" applyBorder="1"/>
    <xf numFmtId="0" fontId="0" fillId="7" borderId="0" xfId="0" applyFill="1"/>
    <xf numFmtId="0" fontId="0" fillId="7" borderId="9" xfId="0" applyFill="1" applyBorder="1"/>
    <xf numFmtId="0" fontId="0" fillId="7" borderId="10" xfId="0" applyFill="1" applyBorder="1"/>
    <xf numFmtId="0" fontId="0" fillId="7" borderId="13" xfId="0" applyFill="1" applyBorder="1"/>
    <xf numFmtId="0" fontId="0" fillId="7" borderId="11" xfId="0" applyFill="1" applyBorder="1"/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66" fontId="0" fillId="0" borderId="2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165" fontId="0" fillId="0" borderId="1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32</xdr:row>
          <xdr:rowOff>76200</xdr:rowOff>
        </xdr:from>
        <xdr:to>
          <xdr:col>2</xdr:col>
          <xdr:colOff>1295400</xdr:colOff>
          <xdr:row>34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32</xdr:row>
          <xdr:rowOff>85725</xdr:rowOff>
        </xdr:from>
        <xdr:to>
          <xdr:col>5</xdr:col>
          <xdr:colOff>1219200</xdr:colOff>
          <xdr:row>34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and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32</xdr:row>
          <xdr:rowOff>76200</xdr:rowOff>
        </xdr:from>
        <xdr:to>
          <xdr:col>8</xdr:col>
          <xdr:colOff>1076325</xdr:colOff>
          <xdr:row>34</xdr:row>
          <xdr:rowOff>104775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32</xdr:row>
          <xdr:rowOff>85725</xdr:rowOff>
        </xdr:from>
        <xdr:to>
          <xdr:col>10</xdr:col>
          <xdr:colOff>942975</xdr:colOff>
          <xdr:row>34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Availability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32</xdr:row>
          <xdr:rowOff>76200</xdr:rowOff>
        </xdr:from>
        <xdr:to>
          <xdr:col>11</xdr:col>
          <xdr:colOff>1152525</xdr:colOff>
          <xdr:row>34</xdr:row>
          <xdr:rowOff>114300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F1AAD-D8A4-4EF2-AA12-6F88172EDAEC}">
  <sheetPr codeName="Sheet1">
    <pageSetUpPr fitToPage="1"/>
  </sheetPr>
  <dimension ref="A1:AH45"/>
  <sheetViews>
    <sheetView tabSelected="1" workbookViewId="0">
      <selection activeCell="H6" sqref="H6:L8"/>
    </sheetView>
  </sheetViews>
  <sheetFormatPr defaultRowHeight="15" x14ac:dyDescent="0.25"/>
  <cols>
    <col min="2" max="2" width="9.140625" style="1"/>
    <col min="3" max="3" width="20.42578125" customWidth="1"/>
    <col min="4" max="4" width="21.7109375" customWidth="1"/>
    <col min="5" max="5" width="8.140625" hidden="1" customWidth="1"/>
    <col min="6" max="6" width="19.5703125" customWidth="1"/>
    <col min="7" max="7" width="8.140625" hidden="1" customWidth="1"/>
    <col min="8" max="8" width="13.42578125" customWidth="1"/>
    <col min="9" max="9" width="17.28515625" customWidth="1"/>
    <col min="10" max="10" width="18.28515625" customWidth="1"/>
    <col min="11" max="11" width="15.28515625" customWidth="1"/>
    <col min="12" max="12" width="18.42578125" customWidth="1"/>
    <col min="16" max="16" width="15.140625" customWidth="1"/>
    <col min="17" max="17" width="12.42578125" hidden="1" customWidth="1"/>
    <col min="18" max="18" width="11.42578125" hidden="1" customWidth="1"/>
    <col min="19" max="19" width="11.140625" customWidth="1"/>
    <col min="20" max="20" width="27.28515625" customWidth="1"/>
    <col min="22" max="22" width="14.140625" customWidth="1"/>
    <col min="23" max="23" width="13.5703125" customWidth="1"/>
    <col min="24" max="24" width="15.28515625" customWidth="1"/>
    <col min="25" max="25" width="12.85546875" customWidth="1"/>
    <col min="26" max="26" width="11.140625" customWidth="1"/>
    <col min="27" max="27" width="25.140625" customWidth="1"/>
    <col min="29" max="29" width="22.28515625" hidden="1" customWidth="1"/>
    <col min="30" max="31" width="0" hidden="1" customWidth="1"/>
    <col min="32" max="32" width="17.7109375" hidden="1" customWidth="1"/>
    <col min="33" max="33" width="11.140625" hidden="1" customWidth="1"/>
  </cols>
  <sheetData>
    <row r="1" spans="1:34" ht="27.75" customHeight="1" x14ac:dyDescent="0.25">
      <c r="A1" s="13"/>
      <c r="B1" s="14"/>
      <c r="C1" s="15"/>
      <c r="D1" s="15"/>
      <c r="E1" s="15"/>
      <c r="F1" s="15"/>
      <c r="G1" s="15"/>
      <c r="H1" s="15"/>
      <c r="I1" s="15"/>
      <c r="J1" s="15"/>
      <c r="K1" s="15"/>
      <c r="L1" s="15"/>
      <c r="M1" s="16"/>
      <c r="N1" s="30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2"/>
    </row>
    <row r="2" spans="1:34" s="2" customFormat="1" ht="29.25" customHeight="1" x14ac:dyDescent="0.3">
      <c r="A2" s="17"/>
      <c r="B2" s="49" t="s">
        <v>0</v>
      </c>
      <c r="C2" s="50"/>
      <c r="D2" s="50"/>
      <c r="E2" s="50"/>
      <c r="F2" s="50"/>
      <c r="G2" s="50"/>
      <c r="H2" s="50"/>
      <c r="I2" s="50"/>
      <c r="J2" s="50"/>
      <c r="K2" s="50"/>
      <c r="L2" s="51"/>
      <c r="M2" s="18"/>
      <c r="N2" s="33"/>
      <c r="O2" s="49" t="s">
        <v>85</v>
      </c>
      <c r="P2" s="50"/>
      <c r="Q2" s="50"/>
      <c r="R2" s="50"/>
      <c r="S2" s="50"/>
      <c r="T2" s="51"/>
      <c r="U2" s="34"/>
      <c r="V2" s="49" t="s">
        <v>84</v>
      </c>
      <c r="W2" s="50"/>
      <c r="X2" s="51"/>
      <c r="Y2" s="49" t="s">
        <v>94</v>
      </c>
      <c r="Z2" s="50"/>
      <c r="AA2" s="51"/>
      <c r="AB2" s="34"/>
      <c r="AC2" s="49" t="s">
        <v>68</v>
      </c>
      <c r="AD2" s="51"/>
      <c r="AE2" s="34"/>
      <c r="AF2" s="49" t="s">
        <v>69</v>
      </c>
      <c r="AG2" s="51"/>
      <c r="AH2" s="35"/>
    </row>
    <row r="3" spans="1:34" ht="20.25" customHeight="1" x14ac:dyDescent="0.25">
      <c r="A3" s="19"/>
      <c r="B3" s="72" t="s">
        <v>79</v>
      </c>
      <c r="C3" s="73"/>
      <c r="D3" s="75" t="s">
        <v>88</v>
      </c>
      <c r="E3" s="75"/>
      <c r="F3" s="75"/>
      <c r="G3" s="75"/>
      <c r="H3" s="75"/>
      <c r="I3" s="75"/>
      <c r="J3" s="74" t="s">
        <v>75</v>
      </c>
      <c r="K3" s="74"/>
      <c r="L3" s="25">
        <f>SUM(L11:L30) +600</f>
        <v>600</v>
      </c>
      <c r="M3" s="20"/>
      <c r="N3" s="36"/>
      <c r="O3" s="9" t="s">
        <v>2</v>
      </c>
      <c r="P3" s="9" t="s">
        <v>90</v>
      </c>
      <c r="Q3" s="9" t="s">
        <v>4</v>
      </c>
      <c r="R3" s="9" t="s">
        <v>5</v>
      </c>
      <c r="S3" s="9" t="s">
        <v>58</v>
      </c>
      <c r="T3" s="9" t="s">
        <v>83</v>
      </c>
      <c r="U3" s="37"/>
      <c r="V3" s="9" t="s">
        <v>51</v>
      </c>
      <c r="W3" s="10" t="s">
        <v>86</v>
      </c>
      <c r="X3" s="10" t="s">
        <v>55</v>
      </c>
      <c r="Y3" s="11" t="s">
        <v>92</v>
      </c>
      <c r="Z3" s="11" t="s">
        <v>93</v>
      </c>
      <c r="AA3" s="9" t="s">
        <v>83</v>
      </c>
      <c r="AB3" s="37"/>
      <c r="AC3" s="9" t="s">
        <v>52</v>
      </c>
      <c r="AD3" s="9" t="s">
        <v>58</v>
      </c>
      <c r="AE3" s="37"/>
      <c r="AF3" s="9" t="s">
        <v>53</v>
      </c>
      <c r="AG3" s="9" t="s">
        <v>58</v>
      </c>
      <c r="AH3" s="38"/>
    </row>
    <row r="4" spans="1:34" x14ac:dyDescent="0.25">
      <c r="A4" s="19"/>
      <c r="B4" s="70" t="s">
        <v>76</v>
      </c>
      <c r="C4" s="71"/>
      <c r="D4" s="80"/>
      <c r="E4" s="81"/>
      <c r="F4" s="81"/>
      <c r="G4" s="81"/>
      <c r="H4" s="81"/>
      <c r="I4" s="82"/>
      <c r="J4" s="76" t="s">
        <v>74</v>
      </c>
      <c r="K4" s="77"/>
      <c r="L4" s="96"/>
      <c r="M4" s="20"/>
      <c r="N4" s="36"/>
      <c r="O4" s="12" t="str">
        <f t="shared" ref="O4:O30" si="0">IF(ISBLANK(C11), "", B11)</f>
        <v/>
      </c>
      <c r="P4" s="12">
        <f>IF(T4=AA$4,V$4,IF(T4=AA$5,V$5,IF(T4=AA$6,V$6,IF(T4=AA$7,V$7,IF(T4=AA$8,V$8,IF(T4=AA$9,V$9,IF(T4=AA$10,V$10,IF(T4=AA$11,V$11,IF(T4=AA$12,V$12,IF(T4=AA$13,V$13,IF(T4=AA$14,V$14,IF(T4=AA$15,V$15,IF(T4=AA$16,V$16,IF(T4=AA$17,V$17,IF(T4=AA$18,V$18,IF(T4=AA$19,V$19,IF(T4=AA$20,V$20,IF(T4=AA$21,V$21,IF(T4=AA$22,V$22,IF(T4=AA$23,V$23,IF(T4=AA$24,V$24,IF(T4=AA$25,V$25,IF(T4=AA$26,V$26,IF(T4=AA$27,V$27,IF(T4=AA$28,V$28,IF(T4=AA$29,V$29,IF(T4=AA$30,V$30,)))))))))))))))))))))))))))</f>
        <v>0</v>
      </c>
      <c r="Q4" s="12">
        <f t="shared" ref="Q4:Q30" si="1">SUMIF(V$4:V$100,C11,Y$4:Y$100)</f>
        <v>0</v>
      </c>
      <c r="R4" s="12">
        <f t="shared" ref="R4:R30" si="2">SUMIF(V$4:V$100,C11,Z$4:Z$100)</f>
        <v>0</v>
      </c>
      <c r="S4" s="12">
        <f t="shared" ref="S4:S30" si="3">SUMIF(B$11:B$30,O4,J$11:J$30)</f>
        <v>0</v>
      </c>
      <c r="T4" s="12">
        <f t="shared" ref="T4:T30" si="4">IF(C11=V$4,AA$4,IF(C11=V$5,AA$5,IF(C11=V$6,AA$6,IF(C11=V$7,AA$7,IF(C11=V$8,AA$8,IF(C11=V$9,AA$9,IF(C11=V$10,AA$10,IF(C11=V$11,AA$11,IF(C11=V$12,AA$12,IF(C11=V$13,AA$13,IF(C11=V$14,AA$14,IF(C11=V$15,AA$15,IF(C11=V$16,AA$16,IF(C11=V$17,AA$17,IF(C11=V$18,AA$18,IF(C11=V$19,AA$19,IF(C11=V$20,AA$20,IF(C11=V$21,AA$21,IF(C11=V$22,AA$22,IF(C11=V$23,AA$23,IF(C11=V$24,AA$24,IF(C11=V$25,AA$25,IF(C11=V$26,AA$26,IF(C11=V$27,AA$27,IF(C11=V$28,AA$28,IF(C11=V$29,AA$29,IF(C11=V$30,AA$30,)))))))))))))))))))))))))))</f>
        <v>0</v>
      </c>
      <c r="U4" s="37"/>
      <c r="V4" s="26" t="s">
        <v>6</v>
      </c>
      <c r="W4" s="26">
        <v>7</v>
      </c>
      <c r="X4" s="27">
        <v>1</v>
      </c>
      <c r="Y4" s="26">
        <v>2</v>
      </c>
      <c r="Z4" s="26">
        <v>50.5</v>
      </c>
      <c r="AA4" s="26" t="str">
        <f>"G0G21G90X"&amp;Y4&amp;"Y"&amp;Z4&amp;"F1000"</f>
        <v>G0G21G90X2Y50.5F1000</v>
      </c>
      <c r="AB4" s="37"/>
      <c r="AC4" s="12" t="s">
        <v>59</v>
      </c>
      <c r="AD4" s="12">
        <v>1</v>
      </c>
      <c r="AE4" s="37"/>
      <c r="AF4" s="12" t="s">
        <v>70</v>
      </c>
      <c r="AG4" s="12">
        <v>1</v>
      </c>
      <c r="AH4" s="38"/>
    </row>
    <row r="5" spans="1:34" x14ac:dyDescent="0.25">
      <c r="A5" s="19"/>
      <c r="B5" s="70" t="s">
        <v>77</v>
      </c>
      <c r="C5" s="71"/>
      <c r="D5" s="83"/>
      <c r="E5" s="84"/>
      <c r="F5" s="84"/>
      <c r="G5" s="4"/>
      <c r="H5" s="74" t="s">
        <v>80</v>
      </c>
      <c r="I5" s="74"/>
      <c r="J5" s="76" t="s">
        <v>1</v>
      </c>
      <c r="K5" s="77"/>
      <c r="L5" s="97"/>
      <c r="M5" s="20"/>
      <c r="N5" s="36"/>
      <c r="O5" s="12" t="str">
        <f t="shared" si="0"/>
        <v/>
      </c>
      <c r="P5" s="12">
        <f t="shared" ref="P5:P30" si="5">IF(T5=AA$4,V$4,IF(T5=AA$5,V$5,IF(T5=AA$6,V$6,IF(T5=AA$7,V$7,IF(T5=AA$8,V$8,IF(T5=AA$9,V$9,IF(T5=AA$10,V$10,IF(T5=AA$11,V$11,IF(T5=AA$12,V$12,IF(T5=AA$13,V$13,IF(T5=AA$14,V$14,IF(T5=AA$15,V$15,IF(T5=AA$16,V$16,IF(T5=AA$17,V$17,IF(T5=AA$18,V$18,IF(T5=AA$19,V$19,IF(T5=AA$20,V$20,IF(T5=AA$21,V$21,IF(T5=AA$22,V$22,IF(T5=AA$23,V$23,IF(T5=AA$24,V$24,IF(T5=AA$25,V$25,IF(T5=AA$26,V$26,IF(T5=AA$27,V$27,IF(T5=AA$28,V$28,IF(T5=AA$29,V$29,IF(T5=AA$30,V$30,)))))))))))))))))))))))))))</f>
        <v>0</v>
      </c>
      <c r="Q5" s="12">
        <f t="shared" si="1"/>
        <v>0</v>
      </c>
      <c r="R5" s="12">
        <f t="shared" si="2"/>
        <v>0</v>
      </c>
      <c r="S5" s="12">
        <f t="shared" si="3"/>
        <v>0</v>
      </c>
      <c r="T5" s="12">
        <f t="shared" si="4"/>
        <v>0</v>
      </c>
      <c r="U5" s="37"/>
      <c r="V5" s="26" t="s">
        <v>7</v>
      </c>
      <c r="W5" s="26">
        <v>5</v>
      </c>
      <c r="X5" s="27">
        <v>1.5</v>
      </c>
      <c r="Y5" s="26">
        <v>92.5</v>
      </c>
      <c r="Z5" s="26">
        <v>50.5</v>
      </c>
      <c r="AA5" s="26" t="str">
        <f t="shared" ref="AA5:AA27" si="6">"G0G21G90X"&amp;Y5&amp;"Y"&amp;Z5&amp;"F1000"</f>
        <v>G0G21G90X92.5Y50.5F1000</v>
      </c>
      <c r="AB5" s="37"/>
      <c r="AC5" s="12" t="s">
        <v>60</v>
      </c>
      <c r="AD5" s="12">
        <v>3</v>
      </c>
      <c r="AE5" s="37"/>
      <c r="AF5" s="12" t="s">
        <v>71</v>
      </c>
      <c r="AG5" s="12">
        <v>1</v>
      </c>
      <c r="AH5" s="38"/>
    </row>
    <row r="6" spans="1:34" x14ac:dyDescent="0.25">
      <c r="A6" s="19"/>
      <c r="B6" s="70" t="s">
        <v>78</v>
      </c>
      <c r="C6" s="71"/>
      <c r="D6" s="80"/>
      <c r="E6" s="81"/>
      <c r="F6" s="82"/>
      <c r="G6" s="3"/>
      <c r="H6" s="87"/>
      <c r="I6" s="88"/>
      <c r="J6" s="88"/>
      <c r="K6" s="88"/>
      <c r="L6" s="89"/>
      <c r="M6" s="20"/>
      <c r="N6" s="36"/>
      <c r="O6" s="12" t="str">
        <f t="shared" si="0"/>
        <v/>
      </c>
      <c r="P6" s="12">
        <f t="shared" si="5"/>
        <v>0</v>
      </c>
      <c r="Q6" s="12">
        <f t="shared" si="1"/>
        <v>0</v>
      </c>
      <c r="R6" s="12">
        <f t="shared" si="2"/>
        <v>0</v>
      </c>
      <c r="S6" s="12">
        <f t="shared" si="3"/>
        <v>0</v>
      </c>
      <c r="T6" s="12">
        <f t="shared" si="4"/>
        <v>0</v>
      </c>
      <c r="U6" s="37"/>
      <c r="V6" s="26" t="s">
        <v>8</v>
      </c>
      <c r="W6" s="26">
        <v>9</v>
      </c>
      <c r="X6" s="27">
        <v>2.5</v>
      </c>
      <c r="Y6" s="26">
        <v>180.5</v>
      </c>
      <c r="Z6" s="26">
        <v>50.5</v>
      </c>
      <c r="AA6" s="26" t="str">
        <f t="shared" si="6"/>
        <v>G0G21G90X180.5Y50.5F1000</v>
      </c>
      <c r="AB6" s="37"/>
      <c r="AC6" s="12" t="s">
        <v>61</v>
      </c>
      <c r="AD6" s="12">
        <v>7</v>
      </c>
      <c r="AE6" s="37"/>
      <c r="AF6" s="12" t="s">
        <v>72</v>
      </c>
      <c r="AG6" s="12">
        <v>1</v>
      </c>
      <c r="AH6" s="38"/>
    </row>
    <row r="7" spans="1:34" x14ac:dyDescent="0.25">
      <c r="A7" s="19"/>
      <c r="B7" s="44" t="s">
        <v>81</v>
      </c>
      <c r="C7" s="45"/>
      <c r="D7" s="85"/>
      <c r="E7" s="85"/>
      <c r="F7" s="85"/>
      <c r="G7" s="3"/>
      <c r="H7" s="90"/>
      <c r="I7" s="91"/>
      <c r="J7" s="91"/>
      <c r="K7" s="91"/>
      <c r="L7" s="92"/>
      <c r="M7" s="20"/>
      <c r="N7" s="36"/>
      <c r="O7" s="12" t="str">
        <f t="shared" si="0"/>
        <v/>
      </c>
      <c r="P7" s="12">
        <f t="shared" si="5"/>
        <v>0</v>
      </c>
      <c r="Q7" s="12">
        <f t="shared" si="1"/>
        <v>0</v>
      </c>
      <c r="R7" s="12">
        <f t="shared" si="2"/>
        <v>0</v>
      </c>
      <c r="S7" s="12">
        <f t="shared" si="3"/>
        <v>0</v>
      </c>
      <c r="T7" s="12">
        <f t="shared" si="4"/>
        <v>0</v>
      </c>
      <c r="U7" s="37"/>
      <c r="V7" s="26" t="s">
        <v>9</v>
      </c>
      <c r="W7" s="26">
        <v>12</v>
      </c>
      <c r="X7" s="27">
        <v>1</v>
      </c>
      <c r="Y7" s="26">
        <v>270.5</v>
      </c>
      <c r="Z7" s="26">
        <v>50.5</v>
      </c>
      <c r="AA7" s="26" t="str">
        <f t="shared" si="6"/>
        <v>G0G21G90X270.5Y50.5F1000</v>
      </c>
      <c r="AB7" s="37"/>
      <c r="AC7" s="12" t="s">
        <v>62</v>
      </c>
      <c r="AD7" s="12">
        <v>14</v>
      </c>
      <c r="AE7" s="37"/>
      <c r="AF7" s="12" t="s">
        <v>57</v>
      </c>
      <c r="AG7" s="12">
        <v>2</v>
      </c>
      <c r="AH7" s="38"/>
    </row>
    <row r="8" spans="1:34" x14ac:dyDescent="0.25">
      <c r="A8" s="19"/>
      <c r="B8" s="44" t="s">
        <v>82</v>
      </c>
      <c r="C8" s="45"/>
      <c r="D8" s="86"/>
      <c r="E8" s="86"/>
      <c r="F8" s="86"/>
      <c r="G8" s="3"/>
      <c r="H8" s="93"/>
      <c r="I8" s="94"/>
      <c r="J8" s="94"/>
      <c r="K8" s="94"/>
      <c r="L8" s="95"/>
      <c r="M8" s="20"/>
      <c r="N8" s="36"/>
      <c r="O8" s="12" t="str">
        <f t="shared" si="0"/>
        <v/>
      </c>
      <c r="P8" s="12">
        <f t="shared" si="5"/>
        <v>0</v>
      </c>
      <c r="Q8" s="12">
        <f t="shared" si="1"/>
        <v>0</v>
      </c>
      <c r="R8" s="12">
        <f t="shared" si="2"/>
        <v>0</v>
      </c>
      <c r="S8" s="12">
        <f t="shared" si="3"/>
        <v>0</v>
      </c>
      <c r="T8" s="12">
        <f t="shared" si="4"/>
        <v>0</v>
      </c>
      <c r="U8" s="37"/>
      <c r="V8" s="26" t="s">
        <v>10</v>
      </c>
      <c r="W8" s="26">
        <v>15</v>
      </c>
      <c r="X8" s="27">
        <v>5</v>
      </c>
      <c r="Y8" s="26">
        <v>357.5</v>
      </c>
      <c r="Z8" s="26">
        <v>50.5</v>
      </c>
      <c r="AA8" s="26" t="str">
        <f t="shared" si="6"/>
        <v>G0G21G90X357.5Y50.5F1000</v>
      </c>
      <c r="AB8" s="37"/>
      <c r="AC8" s="12" t="s">
        <v>63</v>
      </c>
      <c r="AD8" s="12">
        <v>21</v>
      </c>
      <c r="AE8" s="37"/>
      <c r="AF8" s="12" t="s">
        <v>73</v>
      </c>
      <c r="AG8" s="12">
        <v>3</v>
      </c>
      <c r="AH8" s="38"/>
    </row>
    <row r="9" spans="1:34" x14ac:dyDescent="0.25">
      <c r="A9" s="19"/>
      <c r="B9" s="46"/>
      <c r="C9" s="47"/>
      <c r="D9" s="47"/>
      <c r="E9" s="47"/>
      <c r="F9" s="47"/>
      <c r="G9" s="47"/>
      <c r="H9" s="47"/>
      <c r="I9" s="47"/>
      <c r="J9" s="47"/>
      <c r="K9" s="47"/>
      <c r="L9" s="48"/>
      <c r="M9" s="20"/>
      <c r="N9" s="36"/>
      <c r="O9" s="12" t="str">
        <f t="shared" si="0"/>
        <v/>
      </c>
      <c r="P9" s="12">
        <f t="shared" si="5"/>
        <v>0</v>
      </c>
      <c r="Q9" s="12">
        <f t="shared" si="1"/>
        <v>0</v>
      </c>
      <c r="R9" s="12">
        <f t="shared" si="2"/>
        <v>0</v>
      </c>
      <c r="S9" s="12">
        <f t="shared" si="3"/>
        <v>0</v>
      </c>
      <c r="T9" s="12">
        <f t="shared" si="4"/>
        <v>0</v>
      </c>
      <c r="U9" s="37"/>
      <c r="V9" s="26" t="s">
        <v>11</v>
      </c>
      <c r="W9" s="26">
        <v>18</v>
      </c>
      <c r="X9" s="27">
        <v>2.5</v>
      </c>
      <c r="Y9" s="26">
        <v>2.5</v>
      </c>
      <c r="Z9" s="26">
        <v>226</v>
      </c>
      <c r="AA9" s="26" t="str">
        <f t="shared" si="6"/>
        <v>G0G21G90X2.5Y226F1000</v>
      </c>
      <c r="AB9" s="37"/>
      <c r="AC9" s="12" t="s">
        <v>64</v>
      </c>
      <c r="AD9" s="12">
        <v>30</v>
      </c>
      <c r="AE9" s="37"/>
      <c r="AF9" s="12"/>
      <c r="AG9" s="12"/>
      <c r="AH9" s="38"/>
    </row>
    <row r="10" spans="1:34" x14ac:dyDescent="0.25">
      <c r="A10" s="19"/>
      <c r="B10" s="5" t="s">
        <v>2</v>
      </c>
      <c r="C10" s="6" t="s">
        <v>51</v>
      </c>
      <c r="D10" s="6" t="s">
        <v>52</v>
      </c>
      <c r="E10" s="6" t="s">
        <v>58</v>
      </c>
      <c r="F10" s="6" t="s">
        <v>53</v>
      </c>
      <c r="G10" s="6" t="s">
        <v>58</v>
      </c>
      <c r="H10" s="6" t="s">
        <v>87</v>
      </c>
      <c r="I10" s="6" t="s">
        <v>54</v>
      </c>
      <c r="J10" s="6" t="s">
        <v>3</v>
      </c>
      <c r="K10" s="6" t="s">
        <v>55</v>
      </c>
      <c r="L10" s="6" t="s">
        <v>56</v>
      </c>
      <c r="M10" s="20"/>
      <c r="N10" s="36"/>
      <c r="O10" s="12" t="str">
        <f t="shared" si="0"/>
        <v/>
      </c>
      <c r="P10" s="12">
        <f t="shared" si="5"/>
        <v>0</v>
      </c>
      <c r="Q10" s="12">
        <f t="shared" si="1"/>
        <v>0</v>
      </c>
      <c r="R10" s="12">
        <f t="shared" si="2"/>
        <v>0</v>
      </c>
      <c r="S10" s="12">
        <f t="shared" si="3"/>
        <v>0</v>
      </c>
      <c r="T10" s="12">
        <f t="shared" si="4"/>
        <v>0</v>
      </c>
      <c r="U10" s="37"/>
      <c r="V10" s="26" t="s">
        <v>12</v>
      </c>
      <c r="W10" s="26">
        <v>21</v>
      </c>
      <c r="X10" s="27">
        <v>2</v>
      </c>
      <c r="Y10" s="26">
        <v>89.5</v>
      </c>
      <c r="Z10" s="26">
        <v>226</v>
      </c>
      <c r="AA10" s="26" t="str">
        <f t="shared" si="6"/>
        <v>G0G21G90X89.5Y226F1000</v>
      </c>
      <c r="AB10" s="37"/>
      <c r="AC10" s="12" t="s">
        <v>50</v>
      </c>
      <c r="AD10" s="12">
        <v>44</v>
      </c>
      <c r="AE10" s="37"/>
      <c r="AF10" s="12"/>
      <c r="AG10" s="12"/>
      <c r="AH10" s="38"/>
    </row>
    <row r="11" spans="1:34" x14ac:dyDescent="0.25">
      <c r="A11" s="19"/>
      <c r="B11" s="7" t="s">
        <v>29</v>
      </c>
      <c r="C11" s="78"/>
      <c r="D11" s="78"/>
      <c r="E11" s="24">
        <f t="shared" ref="E11:E30" si="7">SUMIF(AC$4:AC$15,D11,AD$4:AD$15)</f>
        <v>0</v>
      </c>
      <c r="F11" s="78"/>
      <c r="G11" s="24">
        <f t="shared" ref="G11:G30" si="8">SUMIF(AF$4:AF$10,F11,AG$4:AG$10)</f>
        <v>0</v>
      </c>
      <c r="H11" s="78"/>
      <c r="I11" s="78"/>
      <c r="J11" s="42">
        <f>E11*G11*H11</f>
        <v>0</v>
      </c>
      <c r="K11" s="43">
        <f t="shared" ref="K11:K30" si="9">SUMIF(V$4:V$100,C11,X$4:X$100)</f>
        <v>0</v>
      </c>
      <c r="L11" s="43">
        <f t="shared" ref="L11:L30" si="10">J11*K11</f>
        <v>0</v>
      </c>
      <c r="M11" s="20"/>
      <c r="N11" s="36"/>
      <c r="O11" s="12" t="str">
        <f t="shared" si="0"/>
        <v/>
      </c>
      <c r="P11" s="12">
        <f t="shared" si="5"/>
        <v>0</v>
      </c>
      <c r="Q11" s="12">
        <f t="shared" si="1"/>
        <v>0</v>
      </c>
      <c r="R11" s="12">
        <f t="shared" si="2"/>
        <v>0</v>
      </c>
      <c r="S11" s="12">
        <f t="shared" si="3"/>
        <v>0</v>
      </c>
      <c r="T11" s="12">
        <f t="shared" si="4"/>
        <v>0</v>
      </c>
      <c r="U11" s="37"/>
      <c r="V11" s="26" t="s">
        <v>13</v>
      </c>
      <c r="W11" s="26">
        <v>24</v>
      </c>
      <c r="X11" s="27">
        <v>5</v>
      </c>
      <c r="Y11" s="26">
        <v>180.5</v>
      </c>
      <c r="Z11" s="26">
        <v>226</v>
      </c>
      <c r="AA11" s="26" t="str">
        <f t="shared" si="6"/>
        <v>G0G21G90X180.5Y226F1000</v>
      </c>
      <c r="AB11" s="37"/>
      <c r="AC11" s="12" t="s">
        <v>65</v>
      </c>
      <c r="AD11" s="12">
        <v>60</v>
      </c>
      <c r="AE11" s="37"/>
      <c r="AF11" s="37"/>
      <c r="AG11" s="37"/>
      <c r="AH11" s="38"/>
    </row>
    <row r="12" spans="1:34" x14ac:dyDescent="0.25">
      <c r="A12" s="19"/>
      <c r="B12" s="7" t="s">
        <v>30</v>
      </c>
      <c r="C12" s="78"/>
      <c r="D12" s="78"/>
      <c r="E12" s="24">
        <f t="shared" si="7"/>
        <v>0</v>
      </c>
      <c r="F12" s="78"/>
      <c r="G12" s="24">
        <f t="shared" si="8"/>
        <v>0</v>
      </c>
      <c r="H12" s="78"/>
      <c r="I12" s="78"/>
      <c r="J12" s="42">
        <f t="shared" ref="J12:J30" si="11">E12*G12*H12</f>
        <v>0</v>
      </c>
      <c r="K12" s="43">
        <f t="shared" si="9"/>
        <v>0</v>
      </c>
      <c r="L12" s="43">
        <f t="shared" si="10"/>
        <v>0</v>
      </c>
      <c r="M12" s="20"/>
      <c r="N12" s="36"/>
      <c r="O12" s="12" t="str">
        <f t="shared" si="0"/>
        <v/>
      </c>
      <c r="P12" s="12">
        <f t="shared" si="5"/>
        <v>0</v>
      </c>
      <c r="Q12" s="12">
        <f t="shared" si="1"/>
        <v>0</v>
      </c>
      <c r="R12" s="12">
        <f t="shared" si="2"/>
        <v>0</v>
      </c>
      <c r="S12" s="12">
        <f t="shared" si="3"/>
        <v>0</v>
      </c>
      <c r="T12" s="12">
        <f t="shared" si="4"/>
        <v>0</v>
      </c>
      <c r="U12" s="37"/>
      <c r="V12" s="26" t="s">
        <v>14</v>
      </c>
      <c r="W12" s="26">
        <v>27</v>
      </c>
      <c r="X12" s="27">
        <v>8</v>
      </c>
      <c r="Y12" s="26">
        <v>270.5</v>
      </c>
      <c r="Z12" s="26">
        <v>226</v>
      </c>
      <c r="AA12" s="26" t="str">
        <f t="shared" si="6"/>
        <v>G0G21G90X270.5Y226F1000</v>
      </c>
      <c r="AB12" s="37"/>
      <c r="AC12" s="12" t="s">
        <v>66</v>
      </c>
      <c r="AD12" s="12">
        <v>90</v>
      </c>
      <c r="AE12" s="37"/>
      <c r="AF12" s="37"/>
      <c r="AG12" s="37"/>
      <c r="AH12" s="38"/>
    </row>
    <row r="13" spans="1:34" x14ac:dyDescent="0.25">
      <c r="A13" s="19"/>
      <c r="B13" s="7" t="s">
        <v>31</v>
      </c>
      <c r="C13" s="78"/>
      <c r="D13" s="78"/>
      <c r="E13" s="24">
        <f t="shared" si="7"/>
        <v>0</v>
      </c>
      <c r="F13" s="78"/>
      <c r="G13" s="24">
        <f t="shared" si="8"/>
        <v>0</v>
      </c>
      <c r="H13" s="78"/>
      <c r="I13" s="78"/>
      <c r="J13" s="42">
        <f t="shared" si="11"/>
        <v>0</v>
      </c>
      <c r="K13" s="43">
        <f t="shared" si="9"/>
        <v>0</v>
      </c>
      <c r="L13" s="43">
        <f t="shared" si="10"/>
        <v>0</v>
      </c>
      <c r="M13" s="20"/>
      <c r="N13" s="36"/>
      <c r="O13" s="12" t="str">
        <f t="shared" si="0"/>
        <v/>
      </c>
      <c r="P13" s="12">
        <f t="shared" si="5"/>
        <v>0</v>
      </c>
      <c r="Q13" s="12">
        <f t="shared" si="1"/>
        <v>0</v>
      </c>
      <c r="R13" s="12">
        <f t="shared" si="2"/>
        <v>0</v>
      </c>
      <c r="S13" s="12">
        <f t="shared" si="3"/>
        <v>0</v>
      </c>
      <c r="T13" s="12">
        <f t="shared" si="4"/>
        <v>0</v>
      </c>
      <c r="U13" s="37"/>
      <c r="V13" s="26" t="s">
        <v>15</v>
      </c>
      <c r="W13" s="26">
        <v>10</v>
      </c>
      <c r="X13" s="27">
        <v>1</v>
      </c>
      <c r="Y13" s="26">
        <v>357.5</v>
      </c>
      <c r="Z13" s="26">
        <v>226</v>
      </c>
      <c r="AA13" s="26" t="str">
        <f t="shared" si="6"/>
        <v>G0G21G90X357.5Y226F1000</v>
      </c>
      <c r="AB13" s="37"/>
      <c r="AC13" s="12" t="s">
        <v>67</v>
      </c>
      <c r="AD13" s="12">
        <v>180</v>
      </c>
      <c r="AE13" s="37"/>
      <c r="AF13" s="37"/>
      <c r="AG13" s="37"/>
      <c r="AH13" s="38"/>
    </row>
    <row r="14" spans="1:34" x14ac:dyDescent="0.25">
      <c r="A14" s="19"/>
      <c r="B14" s="7" t="s">
        <v>32</v>
      </c>
      <c r="C14" s="78"/>
      <c r="D14" s="78"/>
      <c r="E14" s="24">
        <f t="shared" si="7"/>
        <v>0</v>
      </c>
      <c r="F14" s="78"/>
      <c r="G14" s="24">
        <f t="shared" si="8"/>
        <v>0</v>
      </c>
      <c r="H14" s="78"/>
      <c r="I14" s="78"/>
      <c r="J14" s="42">
        <f t="shared" si="11"/>
        <v>0</v>
      </c>
      <c r="K14" s="43">
        <f t="shared" si="9"/>
        <v>0</v>
      </c>
      <c r="L14" s="43">
        <f t="shared" si="10"/>
        <v>0</v>
      </c>
      <c r="M14" s="20"/>
      <c r="N14" s="36"/>
      <c r="O14" s="12" t="str">
        <f t="shared" si="0"/>
        <v/>
      </c>
      <c r="P14" s="12">
        <f t="shared" si="5"/>
        <v>0</v>
      </c>
      <c r="Q14" s="12">
        <f t="shared" si="1"/>
        <v>0</v>
      </c>
      <c r="R14" s="12">
        <f t="shared" si="2"/>
        <v>0</v>
      </c>
      <c r="S14" s="12">
        <f t="shared" si="3"/>
        <v>0</v>
      </c>
      <c r="T14" s="12">
        <f t="shared" si="4"/>
        <v>0</v>
      </c>
      <c r="U14" s="37"/>
      <c r="V14" s="26" t="s">
        <v>16</v>
      </c>
      <c r="W14" s="26">
        <v>0</v>
      </c>
      <c r="X14" s="27">
        <v>0</v>
      </c>
      <c r="Y14" s="26">
        <v>0</v>
      </c>
      <c r="Z14" s="26">
        <v>0</v>
      </c>
      <c r="AA14" s="26" t="str">
        <f t="shared" si="6"/>
        <v>G0G21G90X0Y0F1000</v>
      </c>
      <c r="AB14" s="37"/>
      <c r="AC14" s="12"/>
      <c r="AD14" s="12"/>
      <c r="AE14" s="37"/>
      <c r="AF14" s="37"/>
      <c r="AG14" s="37"/>
      <c r="AH14" s="38"/>
    </row>
    <row r="15" spans="1:34" x14ac:dyDescent="0.25">
      <c r="A15" s="19"/>
      <c r="B15" s="7" t="s">
        <v>33</v>
      </c>
      <c r="C15" s="78"/>
      <c r="D15" s="78"/>
      <c r="E15" s="24">
        <f t="shared" si="7"/>
        <v>0</v>
      </c>
      <c r="F15" s="78"/>
      <c r="G15" s="24">
        <f t="shared" si="8"/>
        <v>0</v>
      </c>
      <c r="H15" s="78"/>
      <c r="I15" s="78"/>
      <c r="J15" s="42">
        <f>E15*G15*H15</f>
        <v>0</v>
      </c>
      <c r="K15" s="43">
        <f t="shared" si="9"/>
        <v>0</v>
      </c>
      <c r="L15" s="43">
        <f t="shared" si="10"/>
        <v>0</v>
      </c>
      <c r="M15" s="20"/>
      <c r="N15" s="36"/>
      <c r="O15" s="12" t="str">
        <f t="shared" si="0"/>
        <v/>
      </c>
      <c r="P15" s="12">
        <f t="shared" si="5"/>
        <v>0</v>
      </c>
      <c r="Q15" s="12">
        <f t="shared" si="1"/>
        <v>0</v>
      </c>
      <c r="R15" s="12">
        <f t="shared" si="2"/>
        <v>0</v>
      </c>
      <c r="S15" s="12">
        <f t="shared" si="3"/>
        <v>0</v>
      </c>
      <c r="T15" s="12">
        <f t="shared" si="4"/>
        <v>0</v>
      </c>
      <c r="U15" s="37"/>
      <c r="V15" s="26" t="s">
        <v>17</v>
      </c>
      <c r="W15" s="26">
        <v>0</v>
      </c>
      <c r="X15" s="27">
        <v>0</v>
      </c>
      <c r="Y15" s="26">
        <v>0</v>
      </c>
      <c r="Z15" s="26">
        <v>0</v>
      </c>
      <c r="AA15" s="26" t="str">
        <f t="shared" si="6"/>
        <v>G0G21G90X0Y0F1000</v>
      </c>
      <c r="AB15" s="37"/>
      <c r="AC15" s="12"/>
      <c r="AD15" s="12"/>
      <c r="AE15" s="37"/>
      <c r="AF15" s="37"/>
      <c r="AG15" s="37"/>
      <c r="AH15" s="38"/>
    </row>
    <row r="16" spans="1:34" x14ac:dyDescent="0.25">
      <c r="A16" s="19"/>
      <c r="B16" s="7" t="s">
        <v>34</v>
      </c>
      <c r="C16" s="78"/>
      <c r="D16" s="78"/>
      <c r="E16" s="24">
        <f t="shared" si="7"/>
        <v>0</v>
      </c>
      <c r="F16" s="78"/>
      <c r="G16" s="24">
        <f t="shared" si="8"/>
        <v>0</v>
      </c>
      <c r="H16" s="78"/>
      <c r="I16" s="78"/>
      <c r="J16" s="42">
        <f t="shared" si="11"/>
        <v>0</v>
      </c>
      <c r="K16" s="43">
        <f t="shared" si="9"/>
        <v>0</v>
      </c>
      <c r="L16" s="43">
        <f t="shared" si="10"/>
        <v>0</v>
      </c>
      <c r="M16" s="20"/>
      <c r="N16" s="36"/>
      <c r="O16" s="12" t="str">
        <f t="shared" si="0"/>
        <v/>
      </c>
      <c r="P16" s="12">
        <f t="shared" si="5"/>
        <v>0</v>
      </c>
      <c r="Q16" s="12">
        <f t="shared" si="1"/>
        <v>0</v>
      </c>
      <c r="R16" s="12">
        <f t="shared" si="2"/>
        <v>0</v>
      </c>
      <c r="S16" s="12">
        <f t="shared" si="3"/>
        <v>0</v>
      </c>
      <c r="T16" s="12">
        <f t="shared" si="4"/>
        <v>0</v>
      </c>
      <c r="U16" s="37"/>
      <c r="V16" s="26" t="s">
        <v>18</v>
      </c>
      <c r="W16" s="26">
        <v>0</v>
      </c>
      <c r="X16" s="27">
        <v>0</v>
      </c>
      <c r="Y16" s="26">
        <v>0</v>
      </c>
      <c r="Z16" s="26">
        <v>0</v>
      </c>
      <c r="AA16" s="26" t="str">
        <f t="shared" si="6"/>
        <v>G0G21G90X0Y0F1000</v>
      </c>
      <c r="AB16" s="37"/>
      <c r="AC16" s="37"/>
      <c r="AD16" s="37"/>
      <c r="AE16" s="37"/>
      <c r="AF16" s="37"/>
      <c r="AG16" s="37"/>
      <c r="AH16" s="38"/>
    </row>
    <row r="17" spans="1:34" x14ac:dyDescent="0.25">
      <c r="A17" s="19"/>
      <c r="B17" s="7" t="s">
        <v>35</v>
      </c>
      <c r="C17" s="78"/>
      <c r="D17" s="78"/>
      <c r="E17" s="24">
        <f t="shared" si="7"/>
        <v>0</v>
      </c>
      <c r="F17" s="78"/>
      <c r="G17" s="24">
        <f t="shared" si="8"/>
        <v>0</v>
      </c>
      <c r="H17" s="78"/>
      <c r="I17" s="78"/>
      <c r="J17" s="42">
        <f t="shared" si="11"/>
        <v>0</v>
      </c>
      <c r="K17" s="43">
        <f t="shared" si="9"/>
        <v>0</v>
      </c>
      <c r="L17" s="43">
        <f t="shared" si="10"/>
        <v>0</v>
      </c>
      <c r="M17" s="20"/>
      <c r="N17" s="36"/>
      <c r="O17" s="12" t="str">
        <f t="shared" si="0"/>
        <v/>
      </c>
      <c r="P17" s="12">
        <f t="shared" si="5"/>
        <v>0</v>
      </c>
      <c r="Q17" s="12">
        <f t="shared" si="1"/>
        <v>0</v>
      </c>
      <c r="R17" s="12">
        <f t="shared" si="2"/>
        <v>0</v>
      </c>
      <c r="S17" s="12">
        <f t="shared" si="3"/>
        <v>0</v>
      </c>
      <c r="T17" s="12">
        <f t="shared" si="4"/>
        <v>0</v>
      </c>
      <c r="U17" s="37"/>
      <c r="V17" s="26" t="s">
        <v>19</v>
      </c>
      <c r="W17" s="26">
        <v>0</v>
      </c>
      <c r="X17" s="27">
        <v>0</v>
      </c>
      <c r="Y17" s="26">
        <v>0</v>
      </c>
      <c r="Z17" s="26">
        <v>0</v>
      </c>
      <c r="AA17" s="26" t="str">
        <f t="shared" si="6"/>
        <v>G0G21G90X0Y0F1000</v>
      </c>
      <c r="AB17" s="37"/>
      <c r="AC17" s="37"/>
      <c r="AD17" s="37"/>
      <c r="AE17" s="37"/>
      <c r="AF17" s="37"/>
      <c r="AG17" s="37"/>
      <c r="AH17" s="38"/>
    </row>
    <row r="18" spans="1:34" x14ac:dyDescent="0.25">
      <c r="A18" s="19"/>
      <c r="B18" s="7" t="s">
        <v>36</v>
      </c>
      <c r="C18" s="78"/>
      <c r="D18" s="78"/>
      <c r="E18" s="24">
        <f t="shared" si="7"/>
        <v>0</v>
      </c>
      <c r="F18" s="78"/>
      <c r="G18" s="24">
        <f t="shared" si="8"/>
        <v>0</v>
      </c>
      <c r="H18" s="78"/>
      <c r="I18" s="78"/>
      <c r="J18" s="42">
        <f t="shared" si="11"/>
        <v>0</v>
      </c>
      <c r="K18" s="43">
        <f t="shared" si="9"/>
        <v>0</v>
      </c>
      <c r="L18" s="43">
        <f t="shared" si="10"/>
        <v>0</v>
      </c>
      <c r="M18" s="20"/>
      <c r="N18" s="36"/>
      <c r="O18" s="12" t="str">
        <f t="shared" si="0"/>
        <v/>
      </c>
      <c r="P18" s="12">
        <f t="shared" si="5"/>
        <v>0</v>
      </c>
      <c r="Q18" s="12">
        <f t="shared" si="1"/>
        <v>0</v>
      </c>
      <c r="R18" s="12">
        <f t="shared" si="2"/>
        <v>0</v>
      </c>
      <c r="S18" s="12">
        <f t="shared" si="3"/>
        <v>0</v>
      </c>
      <c r="T18" s="12">
        <f t="shared" si="4"/>
        <v>0</v>
      </c>
      <c r="U18" s="37"/>
      <c r="V18" s="26" t="s">
        <v>20</v>
      </c>
      <c r="W18" s="26">
        <v>0</v>
      </c>
      <c r="X18" s="27">
        <v>0</v>
      </c>
      <c r="Y18" s="26">
        <v>0</v>
      </c>
      <c r="Z18" s="26">
        <v>0</v>
      </c>
      <c r="AA18" s="26" t="str">
        <f t="shared" si="6"/>
        <v>G0G21G90X0Y0F1000</v>
      </c>
      <c r="AB18" s="37"/>
      <c r="AC18" s="37"/>
      <c r="AD18" s="37"/>
      <c r="AE18" s="37"/>
      <c r="AF18" s="37"/>
      <c r="AG18" s="37"/>
      <c r="AH18" s="38"/>
    </row>
    <row r="19" spans="1:34" x14ac:dyDescent="0.25">
      <c r="A19" s="19"/>
      <c r="B19" s="7" t="s">
        <v>37</v>
      </c>
      <c r="C19" s="78"/>
      <c r="D19" s="78"/>
      <c r="E19" s="24">
        <f t="shared" si="7"/>
        <v>0</v>
      </c>
      <c r="F19" s="78"/>
      <c r="G19" s="24">
        <f t="shared" si="8"/>
        <v>0</v>
      </c>
      <c r="H19" s="78"/>
      <c r="I19" s="78"/>
      <c r="J19" s="42">
        <f t="shared" si="11"/>
        <v>0</v>
      </c>
      <c r="K19" s="43">
        <f t="shared" si="9"/>
        <v>0</v>
      </c>
      <c r="L19" s="43">
        <f t="shared" si="10"/>
        <v>0</v>
      </c>
      <c r="M19" s="20"/>
      <c r="N19" s="36"/>
      <c r="O19" s="12" t="str">
        <f t="shared" si="0"/>
        <v/>
      </c>
      <c r="P19" s="12">
        <f t="shared" si="5"/>
        <v>0</v>
      </c>
      <c r="Q19" s="12">
        <f t="shared" si="1"/>
        <v>0</v>
      </c>
      <c r="R19" s="12">
        <f t="shared" si="2"/>
        <v>0</v>
      </c>
      <c r="S19" s="12">
        <f t="shared" si="3"/>
        <v>0</v>
      </c>
      <c r="T19" s="12">
        <f t="shared" si="4"/>
        <v>0</v>
      </c>
      <c r="U19" s="37"/>
      <c r="V19" s="26" t="s">
        <v>21</v>
      </c>
      <c r="W19" s="26">
        <v>0</v>
      </c>
      <c r="X19" s="27">
        <v>0</v>
      </c>
      <c r="Y19" s="26">
        <v>0</v>
      </c>
      <c r="Z19" s="26">
        <v>0</v>
      </c>
      <c r="AA19" s="26" t="str">
        <f t="shared" si="6"/>
        <v>G0G21G90X0Y0F1000</v>
      </c>
      <c r="AB19" s="37"/>
      <c r="AC19" s="37"/>
      <c r="AD19" s="37"/>
      <c r="AE19" s="37"/>
      <c r="AF19" s="37"/>
      <c r="AG19" s="37"/>
      <c r="AH19" s="38"/>
    </row>
    <row r="20" spans="1:34" x14ac:dyDescent="0.25">
      <c r="A20" s="19"/>
      <c r="B20" s="7" t="s">
        <v>38</v>
      </c>
      <c r="C20" s="78"/>
      <c r="D20" s="78"/>
      <c r="E20" s="24">
        <f t="shared" si="7"/>
        <v>0</v>
      </c>
      <c r="F20" s="78"/>
      <c r="G20" s="24">
        <f t="shared" si="8"/>
        <v>0</v>
      </c>
      <c r="H20" s="78"/>
      <c r="I20" s="78"/>
      <c r="J20" s="42">
        <f t="shared" si="11"/>
        <v>0</v>
      </c>
      <c r="K20" s="43">
        <f t="shared" si="9"/>
        <v>0</v>
      </c>
      <c r="L20" s="43">
        <f t="shared" si="10"/>
        <v>0</v>
      </c>
      <c r="M20" s="20"/>
      <c r="N20" s="36"/>
      <c r="O20" s="12" t="str">
        <f t="shared" si="0"/>
        <v/>
      </c>
      <c r="P20" s="12">
        <f t="shared" si="5"/>
        <v>0</v>
      </c>
      <c r="Q20" s="12">
        <f t="shared" si="1"/>
        <v>0</v>
      </c>
      <c r="R20" s="12">
        <f t="shared" si="2"/>
        <v>0</v>
      </c>
      <c r="S20" s="12">
        <f t="shared" si="3"/>
        <v>0</v>
      </c>
      <c r="T20" s="12">
        <f t="shared" si="4"/>
        <v>0</v>
      </c>
      <c r="U20" s="37"/>
      <c r="V20" s="26" t="s">
        <v>22</v>
      </c>
      <c r="W20" s="26">
        <v>0</v>
      </c>
      <c r="X20" s="27">
        <v>0</v>
      </c>
      <c r="Y20" s="26">
        <v>0</v>
      </c>
      <c r="Z20" s="26">
        <v>0</v>
      </c>
      <c r="AA20" s="26" t="str">
        <f t="shared" si="6"/>
        <v>G0G21G90X0Y0F1000</v>
      </c>
      <c r="AB20" s="37"/>
      <c r="AC20" s="37"/>
      <c r="AD20" s="37"/>
      <c r="AE20" s="37"/>
      <c r="AF20" s="37"/>
      <c r="AG20" s="37"/>
      <c r="AH20" s="38"/>
    </row>
    <row r="21" spans="1:34" x14ac:dyDescent="0.25">
      <c r="A21" s="19"/>
      <c r="B21" s="7" t="s">
        <v>39</v>
      </c>
      <c r="C21" s="78"/>
      <c r="D21" s="78"/>
      <c r="E21" s="24">
        <f t="shared" si="7"/>
        <v>0</v>
      </c>
      <c r="F21" s="78"/>
      <c r="G21" s="24">
        <f t="shared" si="8"/>
        <v>0</v>
      </c>
      <c r="H21" s="78"/>
      <c r="I21" s="78"/>
      <c r="J21" s="42">
        <f t="shared" si="11"/>
        <v>0</v>
      </c>
      <c r="K21" s="43">
        <f t="shared" si="9"/>
        <v>0</v>
      </c>
      <c r="L21" s="43">
        <f t="shared" si="10"/>
        <v>0</v>
      </c>
      <c r="M21" s="20"/>
      <c r="N21" s="36"/>
      <c r="O21" s="12" t="str">
        <f t="shared" si="0"/>
        <v/>
      </c>
      <c r="P21" s="12">
        <f t="shared" si="5"/>
        <v>0</v>
      </c>
      <c r="Q21" s="12">
        <f t="shared" si="1"/>
        <v>0</v>
      </c>
      <c r="R21" s="12">
        <f t="shared" si="2"/>
        <v>0</v>
      </c>
      <c r="S21" s="12">
        <f t="shared" si="3"/>
        <v>0</v>
      </c>
      <c r="T21" s="12">
        <f t="shared" si="4"/>
        <v>0</v>
      </c>
      <c r="U21" s="37"/>
      <c r="V21" s="26" t="s">
        <v>23</v>
      </c>
      <c r="W21" s="26">
        <v>0</v>
      </c>
      <c r="X21" s="27">
        <v>0</v>
      </c>
      <c r="Y21" s="26">
        <v>0</v>
      </c>
      <c r="Z21" s="26">
        <v>0</v>
      </c>
      <c r="AA21" s="26" t="str">
        <f t="shared" si="6"/>
        <v>G0G21G90X0Y0F1000</v>
      </c>
      <c r="AB21" s="37"/>
      <c r="AC21" s="37"/>
      <c r="AD21" s="37"/>
      <c r="AE21" s="37"/>
      <c r="AF21" s="37"/>
      <c r="AG21" s="37"/>
      <c r="AH21" s="38"/>
    </row>
    <row r="22" spans="1:34" x14ac:dyDescent="0.25">
      <c r="A22" s="19"/>
      <c r="B22" s="7" t="s">
        <v>40</v>
      </c>
      <c r="C22" s="78"/>
      <c r="D22" s="78"/>
      <c r="E22" s="24">
        <f t="shared" si="7"/>
        <v>0</v>
      </c>
      <c r="F22" s="78"/>
      <c r="G22" s="24">
        <f t="shared" si="8"/>
        <v>0</v>
      </c>
      <c r="H22" s="78"/>
      <c r="I22" s="78"/>
      <c r="J22" s="42">
        <f t="shared" si="11"/>
        <v>0</v>
      </c>
      <c r="K22" s="43">
        <f t="shared" si="9"/>
        <v>0</v>
      </c>
      <c r="L22" s="43">
        <f t="shared" si="10"/>
        <v>0</v>
      </c>
      <c r="M22" s="20"/>
      <c r="N22" s="36"/>
      <c r="O22" s="12" t="str">
        <f t="shared" si="0"/>
        <v/>
      </c>
      <c r="P22" s="12">
        <f t="shared" si="5"/>
        <v>0</v>
      </c>
      <c r="Q22" s="12">
        <f t="shared" si="1"/>
        <v>0</v>
      </c>
      <c r="R22" s="12">
        <f t="shared" si="2"/>
        <v>0</v>
      </c>
      <c r="S22" s="12">
        <f t="shared" si="3"/>
        <v>0</v>
      </c>
      <c r="T22" s="12">
        <f t="shared" si="4"/>
        <v>0</v>
      </c>
      <c r="U22" s="37"/>
      <c r="V22" s="26" t="s">
        <v>24</v>
      </c>
      <c r="W22" s="26">
        <v>0</v>
      </c>
      <c r="X22" s="27">
        <v>0</v>
      </c>
      <c r="Y22" s="26">
        <v>0</v>
      </c>
      <c r="Z22" s="26">
        <v>0</v>
      </c>
      <c r="AA22" s="26" t="str">
        <f t="shared" si="6"/>
        <v>G0G21G90X0Y0F1000</v>
      </c>
      <c r="AB22" s="37"/>
      <c r="AC22" s="37"/>
      <c r="AD22" s="37"/>
      <c r="AE22" s="37"/>
      <c r="AF22" s="37"/>
      <c r="AG22" s="37"/>
      <c r="AH22" s="38"/>
    </row>
    <row r="23" spans="1:34" x14ac:dyDescent="0.25">
      <c r="A23" s="19"/>
      <c r="B23" s="7" t="s">
        <v>41</v>
      </c>
      <c r="C23" s="78"/>
      <c r="D23" s="78"/>
      <c r="E23" s="24">
        <f t="shared" si="7"/>
        <v>0</v>
      </c>
      <c r="F23" s="78"/>
      <c r="G23" s="24">
        <f t="shared" si="8"/>
        <v>0</v>
      </c>
      <c r="H23" s="78"/>
      <c r="I23" s="78"/>
      <c r="J23" s="42">
        <f t="shared" si="11"/>
        <v>0</v>
      </c>
      <c r="K23" s="43">
        <f t="shared" si="9"/>
        <v>0</v>
      </c>
      <c r="L23" s="43">
        <f t="shared" si="10"/>
        <v>0</v>
      </c>
      <c r="M23" s="20"/>
      <c r="N23" s="36"/>
      <c r="O23" s="12" t="str">
        <f t="shared" si="0"/>
        <v/>
      </c>
      <c r="P23" s="12">
        <f t="shared" si="5"/>
        <v>0</v>
      </c>
      <c r="Q23" s="12">
        <f t="shared" si="1"/>
        <v>0</v>
      </c>
      <c r="R23" s="12">
        <f t="shared" si="2"/>
        <v>0</v>
      </c>
      <c r="S23" s="12">
        <f t="shared" si="3"/>
        <v>0</v>
      </c>
      <c r="T23" s="12">
        <f t="shared" si="4"/>
        <v>0</v>
      </c>
      <c r="U23" s="37"/>
      <c r="V23" s="26" t="s">
        <v>25</v>
      </c>
      <c r="W23" s="26">
        <v>0</v>
      </c>
      <c r="X23" s="27">
        <v>0</v>
      </c>
      <c r="Y23" s="26">
        <v>0</v>
      </c>
      <c r="Z23" s="26">
        <v>0</v>
      </c>
      <c r="AA23" s="26" t="str">
        <f t="shared" si="6"/>
        <v>G0G21G90X0Y0F1000</v>
      </c>
      <c r="AB23" s="37"/>
      <c r="AC23" s="37"/>
      <c r="AD23" s="37"/>
      <c r="AE23" s="37"/>
      <c r="AF23" s="37"/>
      <c r="AG23" s="37"/>
      <c r="AH23" s="38"/>
    </row>
    <row r="24" spans="1:34" x14ac:dyDescent="0.25">
      <c r="A24" s="19"/>
      <c r="B24" s="7" t="s">
        <v>42</v>
      </c>
      <c r="C24" s="78"/>
      <c r="D24" s="78"/>
      <c r="E24" s="24">
        <f t="shared" si="7"/>
        <v>0</v>
      </c>
      <c r="F24" s="78"/>
      <c r="G24" s="24">
        <f t="shared" si="8"/>
        <v>0</v>
      </c>
      <c r="H24" s="78"/>
      <c r="I24" s="78"/>
      <c r="J24" s="42">
        <f t="shared" si="11"/>
        <v>0</v>
      </c>
      <c r="K24" s="43">
        <f t="shared" si="9"/>
        <v>0</v>
      </c>
      <c r="L24" s="43">
        <f t="shared" si="10"/>
        <v>0</v>
      </c>
      <c r="M24" s="20"/>
      <c r="N24" s="36"/>
      <c r="O24" s="12" t="str">
        <f t="shared" si="0"/>
        <v/>
      </c>
      <c r="P24" s="12">
        <f t="shared" si="5"/>
        <v>0</v>
      </c>
      <c r="Q24" s="12">
        <f t="shared" si="1"/>
        <v>0</v>
      </c>
      <c r="R24" s="12">
        <f t="shared" si="2"/>
        <v>0</v>
      </c>
      <c r="S24" s="12">
        <f t="shared" si="3"/>
        <v>0</v>
      </c>
      <c r="T24" s="12">
        <f t="shared" si="4"/>
        <v>0</v>
      </c>
      <c r="U24" s="37"/>
      <c r="V24" s="26" t="s">
        <v>26</v>
      </c>
      <c r="W24" s="26">
        <v>0</v>
      </c>
      <c r="X24" s="27">
        <v>0</v>
      </c>
      <c r="Y24" s="26">
        <v>0</v>
      </c>
      <c r="Z24" s="26">
        <v>0</v>
      </c>
      <c r="AA24" s="26" t="str">
        <f t="shared" si="6"/>
        <v>G0G21G90X0Y0F1000</v>
      </c>
      <c r="AB24" s="37"/>
      <c r="AC24" s="37"/>
      <c r="AD24" s="37"/>
      <c r="AE24" s="37"/>
      <c r="AF24" s="37"/>
      <c r="AG24" s="37"/>
      <c r="AH24" s="38"/>
    </row>
    <row r="25" spans="1:34" x14ac:dyDescent="0.25">
      <c r="A25" s="19"/>
      <c r="B25" s="7" t="s">
        <v>43</v>
      </c>
      <c r="C25" s="78"/>
      <c r="D25" s="78"/>
      <c r="E25" s="24">
        <f t="shared" si="7"/>
        <v>0</v>
      </c>
      <c r="F25" s="78"/>
      <c r="G25" s="24">
        <f t="shared" si="8"/>
        <v>0</v>
      </c>
      <c r="H25" s="78"/>
      <c r="I25" s="78"/>
      <c r="J25" s="42">
        <f t="shared" si="11"/>
        <v>0</v>
      </c>
      <c r="K25" s="43">
        <f t="shared" si="9"/>
        <v>0</v>
      </c>
      <c r="L25" s="43">
        <f t="shared" si="10"/>
        <v>0</v>
      </c>
      <c r="M25" s="20"/>
      <c r="N25" s="36"/>
      <c r="O25" s="12" t="str">
        <f t="shared" si="0"/>
        <v/>
      </c>
      <c r="P25" s="12">
        <f t="shared" si="5"/>
        <v>0</v>
      </c>
      <c r="Q25" s="12">
        <f t="shared" si="1"/>
        <v>0</v>
      </c>
      <c r="R25" s="12">
        <f t="shared" si="2"/>
        <v>0</v>
      </c>
      <c r="S25" s="12">
        <f t="shared" si="3"/>
        <v>0</v>
      </c>
      <c r="T25" s="12">
        <f t="shared" si="4"/>
        <v>0</v>
      </c>
      <c r="U25" s="37"/>
      <c r="V25" s="26" t="s">
        <v>27</v>
      </c>
      <c r="W25" s="26">
        <v>0</v>
      </c>
      <c r="X25" s="27">
        <v>0</v>
      </c>
      <c r="Y25" s="26">
        <v>0</v>
      </c>
      <c r="Z25" s="26">
        <v>0</v>
      </c>
      <c r="AA25" s="26" t="str">
        <f t="shared" si="6"/>
        <v>G0G21G90X0Y0F1000</v>
      </c>
      <c r="AB25" s="37"/>
      <c r="AC25" s="37"/>
      <c r="AD25" s="37"/>
      <c r="AE25" s="37"/>
      <c r="AF25" s="37"/>
      <c r="AG25" s="37"/>
      <c r="AH25" s="38"/>
    </row>
    <row r="26" spans="1:34" x14ac:dyDescent="0.25">
      <c r="A26" s="19"/>
      <c r="B26" s="7" t="s">
        <v>44</v>
      </c>
      <c r="C26" s="78"/>
      <c r="D26" s="78"/>
      <c r="E26" s="24">
        <f t="shared" si="7"/>
        <v>0</v>
      </c>
      <c r="F26" s="78"/>
      <c r="G26" s="24">
        <f t="shared" si="8"/>
        <v>0</v>
      </c>
      <c r="H26" s="78"/>
      <c r="I26" s="78"/>
      <c r="J26" s="42">
        <f t="shared" si="11"/>
        <v>0</v>
      </c>
      <c r="K26" s="43">
        <f t="shared" si="9"/>
        <v>0</v>
      </c>
      <c r="L26" s="43">
        <f t="shared" si="10"/>
        <v>0</v>
      </c>
      <c r="M26" s="20"/>
      <c r="N26" s="36"/>
      <c r="O26" s="12" t="str">
        <f t="shared" si="0"/>
        <v/>
      </c>
      <c r="P26" s="12">
        <f t="shared" si="5"/>
        <v>0</v>
      </c>
      <c r="Q26" s="12">
        <f t="shared" si="1"/>
        <v>0</v>
      </c>
      <c r="R26" s="12">
        <f t="shared" si="2"/>
        <v>0</v>
      </c>
      <c r="S26" s="12">
        <f t="shared" si="3"/>
        <v>0</v>
      </c>
      <c r="T26" s="12">
        <f t="shared" si="4"/>
        <v>0</v>
      </c>
      <c r="U26" s="37"/>
      <c r="V26" s="26" t="s">
        <v>28</v>
      </c>
      <c r="W26" s="26">
        <v>0</v>
      </c>
      <c r="X26" s="27">
        <v>0</v>
      </c>
      <c r="Y26" s="26">
        <v>0</v>
      </c>
      <c r="Z26" s="26">
        <v>0</v>
      </c>
      <c r="AA26" s="26" t="str">
        <f t="shared" si="6"/>
        <v>G0G21G90X0Y0F1000</v>
      </c>
      <c r="AB26" s="37"/>
      <c r="AC26" s="37"/>
      <c r="AD26" s="37"/>
      <c r="AE26" s="37"/>
      <c r="AF26" s="37"/>
      <c r="AG26" s="37"/>
      <c r="AH26" s="38"/>
    </row>
    <row r="27" spans="1:34" x14ac:dyDescent="0.25">
      <c r="A27" s="19"/>
      <c r="B27" s="7" t="s">
        <v>45</v>
      </c>
      <c r="C27" s="78"/>
      <c r="D27" s="78"/>
      <c r="E27" s="24">
        <f t="shared" si="7"/>
        <v>0</v>
      </c>
      <c r="F27" s="78"/>
      <c r="G27" s="24">
        <f t="shared" si="8"/>
        <v>0</v>
      </c>
      <c r="H27" s="79"/>
      <c r="I27" s="78"/>
      <c r="J27" s="42">
        <f t="shared" si="11"/>
        <v>0</v>
      </c>
      <c r="K27" s="43">
        <f t="shared" si="9"/>
        <v>0</v>
      </c>
      <c r="L27" s="43">
        <f t="shared" si="10"/>
        <v>0</v>
      </c>
      <c r="M27" s="20"/>
      <c r="N27" s="36"/>
      <c r="O27" s="12" t="str">
        <f t="shared" si="0"/>
        <v/>
      </c>
      <c r="P27" s="12">
        <f t="shared" si="5"/>
        <v>0</v>
      </c>
      <c r="Q27" s="12">
        <f t="shared" si="1"/>
        <v>0</v>
      </c>
      <c r="R27" s="12">
        <f t="shared" si="2"/>
        <v>0</v>
      </c>
      <c r="S27" s="12">
        <f t="shared" si="3"/>
        <v>0</v>
      </c>
      <c r="T27" s="12">
        <f t="shared" si="4"/>
        <v>0</v>
      </c>
      <c r="U27" s="37"/>
      <c r="V27" s="26" t="s">
        <v>49</v>
      </c>
      <c r="W27" s="26">
        <v>0</v>
      </c>
      <c r="X27" s="27">
        <v>0</v>
      </c>
      <c r="Y27" s="26">
        <v>0</v>
      </c>
      <c r="Z27" s="26">
        <v>0</v>
      </c>
      <c r="AA27" s="26" t="str">
        <f t="shared" si="6"/>
        <v>G0G21G90X0Y0F1000</v>
      </c>
      <c r="AB27" s="37"/>
      <c r="AC27" s="37"/>
      <c r="AD27" s="37"/>
      <c r="AE27" s="37"/>
      <c r="AF27" s="37"/>
      <c r="AG27" s="37"/>
      <c r="AH27" s="38"/>
    </row>
    <row r="28" spans="1:34" x14ac:dyDescent="0.25">
      <c r="A28" s="19"/>
      <c r="B28" s="7" t="s">
        <v>46</v>
      </c>
      <c r="C28" s="78"/>
      <c r="D28" s="78"/>
      <c r="E28" s="24">
        <f t="shared" si="7"/>
        <v>0</v>
      </c>
      <c r="F28" s="78"/>
      <c r="G28" s="24">
        <f t="shared" si="8"/>
        <v>0</v>
      </c>
      <c r="H28" s="79"/>
      <c r="I28" s="78"/>
      <c r="J28" s="42">
        <f t="shared" si="11"/>
        <v>0</v>
      </c>
      <c r="K28" s="43">
        <f t="shared" si="9"/>
        <v>0</v>
      </c>
      <c r="L28" s="43">
        <f t="shared" si="10"/>
        <v>0</v>
      </c>
      <c r="M28" s="20"/>
      <c r="N28" s="36"/>
      <c r="O28" s="12" t="str">
        <f t="shared" si="0"/>
        <v/>
      </c>
      <c r="P28" s="12">
        <f t="shared" si="5"/>
        <v>0</v>
      </c>
      <c r="Q28" s="12">
        <f t="shared" si="1"/>
        <v>0</v>
      </c>
      <c r="R28" s="12">
        <f t="shared" si="2"/>
        <v>0</v>
      </c>
      <c r="S28" s="12">
        <f t="shared" si="3"/>
        <v>0</v>
      </c>
      <c r="T28" s="12">
        <f t="shared" si="4"/>
        <v>0</v>
      </c>
      <c r="U28" s="37"/>
      <c r="V28" s="26"/>
      <c r="W28" s="26"/>
      <c r="X28" s="27"/>
      <c r="Y28" s="26"/>
      <c r="Z28" s="26"/>
      <c r="AA28" s="26"/>
      <c r="AB28" s="37"/>
      <c r="AC28" s="37"/>
      <c r="AD28" s="37"/>
      <c r="AE28" s="37"/>
      <c r="AF28" s="37"/>
      <c r="AG28" s="37"/>
      <c r="AH28" s="38"/>
    </row>
    <row r="29" spans="1:34" x14ac:dyDescent="0.25">
      <c r="A29" s="19"/>
      <c r="B29" s="7" t="s">
        <v>47</v>
      </c>
      <c r="C29" s="78"/>
      <c r="D29" s="78"/>
      <c r="E29" s="24">
        <f t="shared" si="7"/>
        <v>0</v>
      </c>
      <c r="F29" s="78"/>
      <c r="G29" s="24">
        <f t="shared" si="8"/>
        <v>0</v>
      </c>
      <c r="H29" s="79"/>
      <c r="I29" s="78"/>
      <c r="J29" s="42">
        <f t="shared" si="11"/>
        <v>0</v>
      </c>
      <c r="K29" s="43">
        <f t="shared" si="9"/>
        <v>0</v>
      </c>
      <c r="L29" s="43">
        <f t="shared" si="10"/>
        <v>0</v>
      </c>
      <c r="M29" s="20"/>
      <c r="N29" s="36"/>
      <c r="O29" s="12" t="str">
        <f t="shared" si="0"/>
        <v/>
      </c>
      <c r="P29" s="12">
        <f t="shared" si="5"/>
        <v>0</v>
      </c>
      <c r="Q29" s="12">
        <f t="shared" si="1"/>
        <v>0</v>
      </c>
      <c r="R29" s="12">
        <f t="shared" si="2"/>
        <v>0</v>
      </c>
      <c r="S29" s="12">
        <f t="shared" si="3"/>
        <v>0</v>
      </c>
      <c r="T29" s="12">
        <f t="shared" si="4"/>
        <v>0</v>
      </c>
      <c r="U29" s="37"/>
      <c r="V29" s="26"/>
      <c r="W29" s="26"/>
      <c r="X29" s="27"/>
      <c r="Y29" s="26"/>
      <c r="Z29" s="26"/>
      <c r="AA29" s="26"/>
      <c r="AB29" s="37"/>
      <c r="AC29" s="37"/>
      <c r="AD29" s="37"/>
      <c r="AE29" s="37"/>
      <c r="AF29" s="37"/>
      <c r="AG29" s="37"/>
      <c r="AH29" s="38"/>
    </row>
    <row r="30" spans="1:34" x14ac:dyDescent="0.25">
      <c r="A30" s="19"/>
      <c r="B30" s="7" t="s">
        <v>48</v>
      </c>
      <c r="C30" s="78"/>
      <c r="D30" s="78"/>
      <c r="E30" s="24">
        <f t="shared" si="7"/>
        <v>0</v>
      </c>
      <c r="F30" s="78"/>
      <c r="G30" s="24">
        <f t="shared" si="8"/>
        <v>0</v>
      </c>
      <c r="H30" s="79"/>
      <c r="I30" s="78"/>
      <c r="J30" s="42">
        <f t="shared" si="11"/>
        <v>0</v>
      </c>
      <c r="K30" s="43">
        <f t="shared" si="9"/>
        <v>0</v>
      </c>
      <c r="L30" s="43">
        <f t="shared" si="10"/>
        <v>0</v>
      </c>
      <c r="M30" s="20"/>
      <c r="N30" s="36"/>
      <c r="O30" s="12" t="str">
        <f t="shared" si="0"/>
        <v/>
      </c>
      <c r="P30" s="12">
        <f t="shared" si="5"/>
        <v>0</v>
      </c>
      <c r="Q30" s="12">
        <f t="shared" si="1"/>
        <v>0</v>
      </c>
      <c r="R30" s="12">
        <f t="shared" si="2"/>
        <v>0</v>
      </c>
      <c r="S30" s="12">
        <f t="shared" si="3"/>
        <v>0</v>
      </c>
      <c r="T30" s="12">
        <f t="shared" si="4"/>
        <v>0</v>
      </c>
      <c r="U30" s="37"/>
      <c r="V30" s="26"/>
      <c r="W30" s="26"/>
      <c r="X30" s="27"/>
      <c r="Y30" s="26"/>
      <c r="Z30" s="26"/>
      <c r="AA30" s="26"/>
      <c r="AB30" s="37"/>
      <c r="AC30" s="37"/>
      <c r="AD30" s="37"/>
      <c r="AE30" s="37"/>
      <c r="AF30" s="37"/>
      <c r="AG30" s="37"/>
      <c r="AH30" s="38"/>
    </row>
    <row r="31" spans="1:34" x14ac:dyDescent="0.25">
      <c r="A31" s="19"/>
      <c r="B31" s="28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0"/>
      <c r="N31" s="36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8"/>
    </row>
    <row r="32" spans="1:34" ht="24" customHeight="1" x14ac:dyDescent="0.25">
      <c r="A32" s="19"/>
      <c r="B32" s="49" t="s">
        <v>89</v>
      </c>
      <c r="C32" s="50"/>
      <c r="D32" s="50"/>
      <c r="E32" s="50"/>
      <c r="F32" s="50"/>
      <c r="G32" s="50"/>
      <c r="H32" s="50"/>
      <c r="I32" s="50"/>
      <c r="J32" s="50"/>
      <c r="K32" s="50"/>
      <c r="L32" s="51"/>
      <c r="M32" s="20"/>
      <c r="N32" s="36"/>
      <c r="O32" s="37"/>
      <c r="P32" s="37" t="s">
        <v>91</v>
      </c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8"/>
    </row>
    <row r="33" spans="1:34" x14ac:dyDescent="0.25">
      <c r="A33" s="19"/>
      <c r="B33" s="52"/>
      <c r="C33" s="53"/>
      <c r="D33" s="58"/>
      <c r="E33" s="59"/>
      <c r="F33" s="60"/>
      <c r="G33" s="8"/>
      <c r="H33" s="58"/>
      <c r="I33" s="60"/>
      <c r="J33" s="58"/>
      <c r="K33" s="60"/>
      <c r="L33" s="67"/>
      <c r="M33" s="20"/>
      <c r="N33" s="36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8"/>
    </row>
    <row r="34" spans="1:34" x14ac:dyDescent="0.25">
      <c r="A34" s="19"/>
      <c r="B34" s="54"/>
      <c r="C34" s="55"/>
      <c r="D34" s="61"/>
      <c r="E34" s="62"/>
      <c r="F34" s="63"/>
      <c r="G34" s="8"/>
      <c r="H34" s="61"/>
      <c r="I34" s="63"/>
      <c r="J34" s="61"/>
      <c r="K34" s="63"/>
      <c r="L34" s="68"/>
      <c r="M34" s="20"/>
      <c r="N34" s="36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8"/>
    </row>
    <row r="35" spans="1:34" x14ac:dyDescent="0.25">
      <c r="A35" s="19"/>
      <c r="B35" s="56"/>
      <c r="C35" s="57"/>
      <c r="D35" s="64"/>
      <c r="E35" s="65"/>
      <c r="F35" s="66"/>
      <c r="G35" s="8"/>
      <c r="H35" s="64"/>
      <c r="I35" s="66"/>
      <c r="J35" s="64"/>
      <c r="K35" s="66"/>
      <c r="L35" s="69"/>
      <c r="M35" s="20"/>
      <c r="N35" s="36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8"/>
    </row>
    <row r="36" spans="1:34" x14ac:dyDescent="0.25">
      <c r="A36" s="21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3"/>
      <c r="N36" s="36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8"/>
    </row>
    <row r="37" spans="1:34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0"/>
      <c r="N37" s="36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8"/>
    </row>
    <row r="38" spans="1:34" ht="14.25" customHeight="1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0"/>
      <c r="N38" s="36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8"/>
    </row>
    <row r="39" spans="1:34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0"/>
      <c r="N39" s="36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8"/>
    </row>
    <row r="40" spans="1:34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0"/>
      <c r="N40" s="36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8"/>
    </row>
    <row r="41" spans="1:34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0"/>
      <c r="N41" s="36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8"/>
    </row>
    <row r="42" spans="1:34" x14ac:dyDescent="0.25">
      <c r="A42" s="2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3"/>
      <c r="N42" s="39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1"/>
    </row>
    <row r="43" spans="1:34" x14ac:dyDescent="0.25">
      <c r="B43"/>
    </row>
    <row r="44" spans="1:34" x14ac:dyDescent="0.25">
      <c r="B44"/>
    </row>
    <row r="45" spans="1:34" x14ac:dyDescent="0.25">
      <c r="B45"/>
    </row>
  </sheetData>
  <mergeCells count="30">
    <mergeCell ref="D4:I4"/>
    <mergeCell ref="O2:T2"/>
    <mergeCell ref="AC2:AD2"/>
    <mergeCell ref="J5:K5"/>
    <mergeCell ref="B4:C4"/>
    <mergeCell ref="B5:C5"/>
    <mergeCell ref="H5:I5"/>
    <mergeCell ref="D5:F5"/>
    <mergeCell ref="J4:K4"/>
    <mergeCell ref="AF2:AG2"/>
    <mergeCell ref="B2:L2"/>
    <mergeCell ref="B3:C3"/>
    <mergeCell ref="J3:K3"/>
    <mergeCell ref="Y2:AA2"/>
    <mergeCell ref="V2:X2"/>
    <mergeCell ref="D3:I3"/>
    <mergeCell ref="B8:C8"/>
    <mergeCell ref="B9:L9"/>
    <mergeCell ref="B32:L32"/>
    <mergeCell ref="B33:C35"/>
    <mergeCell ref="D33:F35"/>
    <mergeCell ref="H33:I35"/>
    <mergeCell ref="J33:K35"/>
    <mergeCell ref="L33:L35"/>
    <mergeCell ref="H6:L8"/>
    <mergeCell ref="D7:F7"/>
    <mergeCell ref="D8:F8"/>
    <mergeCell ref="D6:F6"/>
    <mergeCell ref="B7:C7"/>
    <mergeCell ref="B6:C6"/>
  </mergeCells>
  <phoneticPr fontId="2" type="noConversion"/>
  <dataValidations count="5">
    <dataValidation type="list" allowBlank="1" showInputMessage="1" showErrorMessage="1" sqref="C11:C30" xr:uid="{33558049-40D5-4F9C-B632-DD02CD006CEC}">
      <formula1>$V$4:$V$27</formula1>
    </dataValidation>
    <dataValidation type="list" allowBlank="1" showInputMessage="1" showErrorMessage="1" sqref="D11:D30" xr:uid="{0BDD83D2-A012-495A-89C5-C19AFA392E65}">
      <formula1>"01 Day,03 Day,01 Week,02 Weeks,03 Weeks, 01 Month,01 Month &amp; 02 Weeks,02 Months,03 Months,06 Months"</formula1>
    </dataValidation>
    <dataValidation type="list" allowBlank="1" showInputMessage="1" showErrorMessage="1" sqref="F11:F30" xr:uid="{837B8034-4F0A-48D3-99FA-5CB475FEB60F}">
      <formula1>"Only Morning,Only Night,Only Afternoon,Morning &amp; Night,Three Times"</formula1>
    </dataValidation>
    <dataValidation type="list" allowBlank="1" showInputMessage="1" showErrorMessage="1" sqref="I11:I30" xr:uid="{55C19948-4A90-4126-80A2-1BC594636131}">
      <formula1>"After Foods, Bofore Foods,With Foods"</formula1>
    </dataValidation>
    <dataValidation type="list" allowBlank="1" showInputMessage="1" showErrorMessage="1" sqref="D6" xr:uid="{7989B16F-6B66-42AE-97E3-D6F5B34E977C}">
      <formula1>"Male,Female"</formula1>
    </dataValidation>
  </dataValidations>
  <pageMargins left="0.7" right="0.7" top="0.75" bottom="0.75" header="0.3" footer="0.3"/>
  <pageSetup paperSize="9" scale="34" orientation="landscape" r:id="rId1"/>
  <ignoredErrors>
    <ignoredError sqref="L3 AA4:AA2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learSelectedArea">
                <anchor moveWithCells="1" sizeWithCells="1">
                  <from>
                    <xdr:col>1</xdr:col>
                    <xdr:colOff>76200</xdr:colOff>
                    <xdr:row>32</xdr:row>
                    <xdr:rowOff>76200</xdr:rowOff>
                  </from>
                  <to>
                    <xdr:col>2</xdr:col>
                    <xdr:colOff>1295400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PrintAndSavePDFSpecificRange">
                <anchor moveWithCells="1" sizeWithCells="1">
                  <from>
                    <xdr:col>3</xdr:col>
                    <xdr:colOff>85725</xdr:colOff>
                    <xdr:row>32</xdr:row>
                    <xdr:rowOff>85725</xdr:rowOff>
                  </from>
                  <to>
                    <xdr:col>5</xdr:col>
                    <xdr:colOff>1219200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CreateAndSendTextNamedFromD4L4">
                <anchor moveWithCells="1" sizeWithCells="1">
                  <from>
                    <xdr:col>7</xdr:col>
                    <xdr:colOff>66675</xdr:colOff>
                    <xdr:row>32</xdr:row>
                    <xdr:rowOff>76200</xdr:rowOff>
                  </from>
                  <to>
                    <xdr:col>8</xdr:col>
                    <xdr:colOff>1076325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ColorCellsBasedOnCondition">
                <anchor moveWithCells="1" sizeWithCells="1">
                  <from>
                    <xdr:col>9</xdr:col>
                    <xdr:colOff>85725</xdr:colOff>
                    <xdr:row>32</xdr:row>
                    <xdr:rowOff>85725</xdr:rowOff>
                  </from>
                  <to>
                    <xdr:col>10</xdr:col>
                    <xdr:colOff>942975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unPythonScriptOnRaspberryPi">
                <anchor moveWithCells="1" sizeWithCells="1">
                  <from>
                    <xdr:col>11</xdr:col>
                    <xdr:colOff>76200</xdr:colOff>
                    <xdr:row>32</xdr:row>
                    <xdr:rowOff>76200</xdr:rowOff>
                  </from>
                  <to>
                    <xdr:col>11</xdr:col>
                    <xdr:colOff>1152525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 User 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SANDEEPA</dc:creator>
  <cp:lastModifiedBy>DINETH SANDEEPA</cp:lastModifiedBy>
  <cp:lastPrinted>2025-05-13T17:07:20Z</cp:lastPrinted>
  <dcterms:created xsi:type="dcterms:W3CDTF">2024-10-25T03:30:08Z</dcterms:created>
  <dcterms:modified xsi:type="dcterms:W3CDTF">2025-05-28T01:05:08Z</dcterms:modified>
</cp:coreProperties>
</file>